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Blind_Estimates" sheetId="2" state="visible" r:id="rId4"/>
    <sheet name="AI_Comparison" sheetId="3" state="visible" r:id="rId5"/>
    <sheet name="Gaps" sheetId="4" state="visible" r:id="rId6"/>
    <sheet name="Sprint_Capacit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<sst xmlns="http://schemas.openxmlformats.org/spreadsheetml/2006/main" count="159" uniqueCount="103">
  <si>
    <t xml:space="preserve">Lab 4 - Estimation Workbook (spreadsheet tool)</t>
  </si>
  <si>
    <t xml:space="preserve">Zainab | SP24-BSE-034 | Built on the Lab 3 backlog</t>
  </si>
  <si>
    <t xml:space="preserve">Blue text = cells you edit with real session data (member estimates, AI estimates, velocity inputs). Black = formulas.</t>
  </si>
  <si>
    <t xml:space="preserve">Step 1: each member writes their estimate BEFORE anyone speaks (use a stopwatch/timer), then fill Blind_Estimates.</t>
  </si>
  <si>
    <t xml:space="preserve">Step 2: get AI estimates and fill AI_Comparison. Step 3: Gaps. Step 4: Sprint_Capacity.</t>
  </si>
  <si>
    <t xml:space="preserve">The Member A/B/C numbers and AI numbers are sample values. Replace with your group's real written estimates.</t>
  </si>
  <si>
    <t xml:space="preserve">Task 1 - Blind estimates (Fibonacci scale), then reveal</t>
  </si>
  <si>
    <t xml:space="preserve">ID</t>
  </si>
  <si>
    <t xml:space="preserve">Story</t>
  </si>
  <si>
    <t xml:space="preserve">Member A</t>
  </si>
  <si>
    <t xml:space="preserve">Member B</t>
  </si>
  <si>
    <t xml:space="preserve">Member C</t>
  </si>
  <si>
    <t xml:space="preserve">Agreed</t>
  </si>
  <si>
    <t xml:space="preserve">Min</t>
  </si>
  <si>
    <t xml:space="preserve">Max</t>
  </si>
  <si>
    <t xml:space="preserve">Spread</t>
  </si>
  <si>
    <t xml:space="preserve">All identical?</t>
  </si>
  <si>
    <t xml:space="preserve">US-01</t>
  </si>
  <si>
    <t xml:space="preserve">Login</t>
  </si>
  <si>
    <t xml:space="preserve">US-02</t>
  </si>
  <si>
    <t xml:space="preserve">Browse events</t>
  </si>
  <si>
    <t xml:space="preserve">US-03</t>
  </si>
  <si>
    <t xml:space="preserve">Register for event</t>
  </si>
  <si>
    <t xml:space="preserve">US-04</t>
  </si>
  <si>
    <t xml:space="preserve">Cancel registration</t>
  </si>
  <si>
    <t xml:space="preserve">US-05</t>
  </si>
  <si>
    <t xml:space="preserve">Reminder before event</t>
  </si>
  <si>
    <t xml:space="preserve">US-06</t>
  </si>
  <si>
    <t xml:space="preserve">Admin add event</t>
  </si>
  <si>
    <t xml:space="preserve">US-07</t>
  </si>
  <si>
    <t xml:space="preserve">Admin remove event</t>
  </si>
  <si>
    <t xml:space="preserve">US-08</t>
  </si>
  <si>
    <t xml:space="preserve">View my registrations</t>
  </si>
  <si>
    <t xml:space="preserve">US-11</t>
  </si>
  <si>
    <t xml:space="preserve">Admin edit event</t>
  </si>
  <si>
    <t xml:space="preserve">US-12</t>
  </si>
  <si>
    <t xml:space="preserve">Notify on cancellation</t>
  </si>
  <si>
    <t xml:space="preserve">Total agreed points</t>
  </si>
  <si>
    <t xml:space="preserve">Stories with identical estimates</t>
  </si>
  <si>
    <t xml:space="preserve">Largest spread</t>
  </si>
  <si>
    <t xml:space="preserve">Timestamp / witness of blind round:</t>
  </si>
  <si>
    <t xml:space="preserve">(write date, time and witness name here)</t>
  </si>
  <si>
    <t xml:space="preserve">Task 2 - AI as a fourth voice, with assumption audit</t>
  </si>
  <si>
    <t xml:space="preserve">Team</t>
  </si>
  <si>
    <t xml:space="preserve">AI</t>
  </si>
  <si>
    <t xml:space="preserve">Diff (team - AI)</t>
  </si>
  <si>
    <t xml:space="preserve">Abs diff</t>
  </si>
  <si>
    <t xml:space="preserve">AI justification</t>
  </si>
  <si>
    <t xml:space="preserve">Audit verdict</t>
  </si>
  <si>
    <t xml:space="preserve">Reason for verdict</t>
  </si>
  <si>
    <t xml:space="preserve">Standard auth flow</t>
  </si>
  <si>
    <t xml:space="preserve">Assumed</t>
  </si>
  <si>
    <t xml:space="preserve">Auth method not in backlog</t>
  </si>
  <si>
    <t xml:space="preserve">Read-only list</t>
  </si>
  <si>
    <t xml:space="preserve">Knowable</t>
  </si>
  <si>
    <t xml:space="preserve">Browsing is read-only in the story</t>
  </si>
  <si>
    <t xml:space="preserve">Concurrency on last seat</t>
  </si>
  <si>
    <t xml:space="preserve">Story does not mention seat limits</t>
  </si>
  <si>
    <t xml:space="preserve">Reverse of register, frees spot</t>
  </si>
  <si>
    <t xml:space="preserve">Stated in the story</t>
  </si>
  <si>
    <t xml:space="preserve">Scheduled email job</t>
  </si>
  <si>
    <t xml:space="preserve">Channel and scheduler not specified</t>
  </si>
  <si>
    <t xml:space="preserve">Simple CRUD form</t>
  </si>
  <si>
    <t xml:space="preserve">Assumes an admin UI already exists</t>
  </si>
  <si>
    <t xml:space="preserve">Delete a record</t>
  </si>
  <si>
    <t xml:space="preserve">Ignores existing registrations</t>
  </si>
  <si>
    <t xml:space="preserve">Query and list</t>
  </si>
  <si>
    <t xml:space="preserve">Read-only list in the story</t>
  </si>
  <si>
    <t xml:space="preserve">Reuse the add form</t>
  </si>
  <si>
    <t xml:space="preserve">Form reuse is not in the backlog</t>
  </si>
  <si>
    <t xml:space="preserve">Trigger existing notification</t>
  </si>
  <si>
    <t xml:space="preserve">Assumes reminders already built</t>
  </si>
  <si>
    <t xml:space="preserve">Totals</t>
  </si>
  <si>
    <t xml:space="preserve">Audit: Knowable count</t>
  </si>
  <si>
    <t xml:space="preserve">Audit: Assumed count</t>
  </si>
  <si>
    <t xml:space="preserve">Task 3 - Three biggest team-vs-AI gaps (concrete local knowledge)</t>
  </si>
  <si>
    <t xml:space="preserve">Rank</t>
  </si>
  <si>
    <t xml:space="preserve">Gap (abs diff)</t>
  </si>
  <si>
    <t xml:space="preserve">What the team knows that the model does not</t>
  </si>
  <si>
    <t xml:space="preserve">The AI cannot know our reminder module is only designed, with no cancellation hook and no decision on email vs phone contact. Building that delivery path is most of this story.</t>
  </si>
  <si>
    <t xml:space="preserve">The AI cannot know our event-capacity schema is not finalised, and that none of us has handled two students racing for the last seat in our chosen database.</t>
  </si>
  <si>
    <t xml:space="preserve">The AI cannot know we have not picked a job scheduler or email provider, and that our university mail domain may rate-limit bulk mail.</t>
  </si>
  <si>
    <t xml:space="preserve">Task 4 - Sprint capacity and confidence</t>
  </si>
  <si>
    <t xml:space="preserve">Inputs (blue = edit)</t>
  </si>
  <si>
    <t xml:space="preserve">Team members</t>
  </si>
  <si>
    <t xml:space="preserve">Working days in sprint</t>
  </si>
  <si>
    <t xml:space="preserve">Focused hours per person per day</t>
  </si>
  <si>
    <t xml:space="preserve">Hours per story point</t>
  </si>
  <si>
    <t xml:space="preserve">Chosen velocity (points per sprint)</t>
  </si>
  <si>
    <t xml:space="preserve">Assumption: new team, unfamiliar codebase, so rounded below the 22.5 computed from hours.</t>
  </si>
  <si>
    <t xml:space="preserve">Available hours</t>
  </si>
  <si>
    <t xml:space="preserve">Capacity from hours (points)</t>
  </si>
  <si>
    <t xml:space="preserve">Velocity used (rounded down for buffer)</t>
  </si>
  <si>
    <t xml:space="preserve">Order</t>
  </si>
  <si>
    <t xml:space="preserve">Points</t>
  </si>
  <si>
    <t xml:space="preserve">Cumulative</t>
  </si>
  <si>
    <t xml:space="preserve">Fits in Sprint 1?</t>
  </si>
  <si>
    <t xml:space="preserve">Points committed to Sprint 1</t>
  </si>
  <si>
    <t xml:space="preserve">Spare capacity</t>
  </si>
  <si>
    <t xml:space="preserve">Total backlog points</t>
  </si>
  <si>
    <t xml:space="preserve">Sprints needed (rounded up)</t>
  </si>
  <si>
    <t xml:space="preserve">Confidence</t>
  </si>
  <si>
    <t xml:space="preserve">I expect to be wrong by about 30 percent (real velocity 14 to 26 points). At the end of the sprint I will measure points actually completed against the points committed, plus real hours spent on US-03.</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</si>
</sst>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3"/>
      <color rgb="FF0F5F73"/>
      <name val="Arial"/>
      <family val="0"/>
      <charset val="1"/>
    </font>
    <font>
      <i val="true"/>
      <sz val="9"/>
      <name val="Arial"/>
      <family val="0"/>
      <charset val="1"/>
    </font>
    <font>
      <sz val="10"/>
      <name val="Arial"/>
      <family val="0"/>
      <charset val="1"/>
    </font>
    <font>
      <b val="true"/>
      <sz val="10"/>
      <color rgb="FFFFFFFF"/>
      <name val="Arial"/>
      <family val="0"/>
      <charset val="1"/>
    </font>
    <font>
      <sz val="10"/>
      <color rgb="FF0000FF"/>
      <name val="Arial"/>
      <family val="0"/>
      <charset val="1"/>
    </font>
    <font>
      <b val="true"/>
      <sz val="10"/>
      <name val="Arial"/>
      <family val="0"/>
      <charset val="1"/>
    </font>
  </fonts>
  <fills count="3">
    <fill>
      <patternFill patternType="none"/>
    </fill>
    <fill>
      <patternFill patternType="gray125"/>
    </fill>
    <fill>
      <patternFill patternType="solid">
        <fgColor rgb="FF0F5F73"/>
        <bgColor rgb="FF008080"/>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5F73"/>
      <rgbColor rgb="FFBBBBBB"/>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5"/>
  </cols>
  <sheetData>
    <row r="1" customFormat="false" ht="16.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t="s">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6" min="3" style="0" width="10"/>
    <col collapsed="false" customWidth="true" hidden="false" outlineLevel="0" max="9" min="7" style="0" width="8"/>
    <col collapsed="false" customWidth="true" hidden="false" outlineLevel="0" max="10" min="10" style="0" width="16"/>
  </cols>
  <sheetData>
    <row r="1" customFormat="false" ht="16.15" hidden="false" customHeight="false" outlineLevel="0" collapsed="false">
      <c r="A1" s="1" t="s">
        <v>6</v>
      </c>
    </row>
    <row r="3" customFormat="false" ht="15" hidden="false" customHeight="false" outlineLevel="0" collapsed="false">
      <c r="A3" s="4" t="s">
        <v>7</v>
      </c>
      <c r="B3" s="4" t="s">
        <v>8</v>
      </c>
      <c r="C3" s="4" t="s">
        <v>9</v>
      </c>
      <c r="D3" s="4" t="s">
        <v>10</v>
      </c>
      <c r="E3" s="4" t="s">
        <v>11</v>
      </c>
      <c r="F3" s="4" t="s">
        <v>12</v>
      </c>
      <c r="G3" s="4" t="s">
        <v>13</v>
      </c>
      <c r="H3" s="4" t="s">
        <v>14</v>
      </c>
      <c r="I3" s="4" t="s">
        <v>15</v>
      </c>
      <c r="J3" s="4" t="s">
        <v>16</v>
      </c>
    </row>
    <row r="4" customFormat="false" ht="15" hidden="false" customHeight="false" outlineLevel="0" collapsed="false">
      <c r="A4" s="5" t="s">
        <v>17</v>
      </c>
      <c r="B4" s="5" t="s">
        <v>18</v>
      </c>
      <c r="C4" s="6" t="n">
        <v>3</v>
      </c>
      <c r="D4" s="6" t="n">
        <v>5</v>
      </c>
      <c r="E4" s="6" t="n">
        <v>3</v>
      </c>
      <c r="F4" s="6" t="n">
        <v>3</v>
      </c>
      <c r="G4" s="5" t="n">
        <f aca="false">MIN(C4:E4)</f>
        <v>3</v>
      </c>
      <c r="H4" s="5" t="n">
        <f aca="false">MAX(C4:E4)</f>
        <v>5</v>
      </c>
      <c r="I4" s="5" t="n">
        <f aca="false">H4-G4</f>
        <v>2</v>
      </c>
      <c r="J4" s="5" t="str">
        <f aca="false">IF(I4=0,"YES - challenge","no")</f>
        <v>no</v>
      </c>
    </row>
    <row r="5" customFormat="false" ht="15" hidden="false" customHeight="false" outlineLevel="0" collapsed="false">
      <c r="A5" s="5" t="s">
        <v>19</v>
      </c>
      <c r="B5" s="5" t="s">
        <v>20</v>
      </c>
      <c r="C5" s="6" t="n">
        <v>2</v>
      </c>
      <c r="D5" s="6" t="n">
        <v>3</v>
      </c>
      <c r="E5" s="6" t="n">
        <v>2</v>
      </c>
      <c r="F5" s="6" t="n">
        <v>3</v>
      </c>
      <c r="G5" s="5" t="n">
        <f aca="false">MIN(C5:E5)</f>
        <v>2</v>
      </c>
      <c r="H5" s="5" t="n">
        <f aca="false">MAX(C5:E5)</f>
        <v>3</v>
      </c>
      <c r="I5" s="5" t="n">
        <f aca="false">H5-G5</f>
        <v>1</v>
      </c>
      <c r="J5" s="5" t="str">
        <f aca="false">IF(I5=0,"YES - challenge","no")</f>
        <v>no</v>
      </c>
    </row>
    <row r="6" customFormat="false" ht="15" hidden="false" customHeight="false" outlineLevel="0" collapsed="false">
      <c r="A6" s="5" t="s">
        <v>21</v>
      </c>
      <c r="B6" s="5" t="s">
        <v>22</v>
      </c>
      <c r="C6" s="6" t="n">
        <v>8</v>
      </c>
      <c r="D6" s="6" t="n">
        <v>5</v>
      </c>
      <c r="E6" s="6" t="n">
        <v>8</v>
      </c>
      <c r="F6" s="6" t="n">
        <v>8</v>
      </c>
      <c r="G6" s="5" t="n">
        <f aca="false">MIN(C6:E6)</f>
        <v>5</v>
      </c>
      <c r="H6" s="5" t="n">
        <f aca="false">MAX(C6:E6)</f>
        <v>8</v>
      </c>
      <c r="I6" s="5" t="n">
        <f aca="false">H6-G6</f>
        <v>3</v>
      </c>
      <c r="J6" s="5" t="str">
        <f aca="false">IF(I6=0,"YES - challenge","no")</f>
        <v>no</v>
      </c>
    </row>
    <row r="7" customFormat="false" ht="15" hidden="false" customHeight="false" outlineLevel="0" collapsed="false">
      <c r="A7" s="5" t="s">
        <v>23</v>
      </c>
      <c r="B7" s="5" t="s">
        <v>24</v>
      </c>
      <c r="C7" s="6" t="n">
        <v>3</v>
      </c>
      <c r="D7" s="6" t="n">
        <v>3</v>
      </c>
      <c r="E7" s="6" t="n">
        <v>5</v>
      </c>
      <c r="F7" s="6" t="n">
        <v>3</v>
      </c>
      <c r="G7" s="5" t="n">
        <f aca="false">MIN(C7:E7)</f>
        <v>3</v>
      </c>
      <c r="H7" s="5" t="n">
        <f aca="false">MAX(C7:E7)</f>
        <v>5</v>
      </c>
      <c r="I7" s="5" t="n">
        <f aca="false">H7-G7</f>
        <v>2</v>
      </c>
      <c r="J7" s="5" t="str">
        <f aca="false">IF(I7=0,"YES - challenge","no")</f>
        <v>no</v>
      </c>
    </row>
    <row r="8" customFormat="false" ht="15" hidden="false" customHeight="false" outlineLevel="0" collapsed="false">
      <c r="A8" s="5" t="s">
        <v>25</v>
      </c>
      <c r="B8" s="5" t="s">
        <v>26</v>
      </c>
      <c r="C8" s="6" t="n">
        <v>8</v>
      </c>
      <c r="D8" s="6" t="n">
        <v>13</v>
      </c>
      <c r="E8" s="6" t="n">
        <v>8</v>
      </c>
      <c r="F8" s="6" t="n">
        <v>8</v>
      </c>
      <c r="G8" s="5" t="n">
        <f aca="false">MIN(C8:E8)</f>
        <v>8</v>
      </c>
      <c r="H8" s="5" t="n">
        <f aca="false">MAX(C8:E8)</f>
        <v>13</v>
      </c>
      <c r="I8" s="5" t="n">
        <f aca="false">H8-G8</f>
        <v>5</v>
      </c>
      <c r="J8" s="5" t="str">
        <f aca="false">IF(I8=0,"YES - challenge","no")</f>
        <v>no</v>
      </c>
    </row>
    <row r="9" customFormat="false" ht="15" hidden="false" customHeight="false" outlineLevel="0" collapsed="false">
      <c r="A9" s="5" t="s">
        <v>27</v>
      </c>
      <c r="B9" s="5" t="s">
        <v>28</v>
      </c>
      <c r="C9" s="6" t="n">
        <v>5</v>
      </c>
      <c r="D9" s="6" t="n">
        <v>3</v>
      </c>
      <c r="E9" s="6" t="n">
        <v>5</v>
      </c>
      <c r="F9" s="6" t="n">
        <v>5</v>
      </c>
      <c r="G9" s="5" t="n">
        <f aca="false">MIN(C9:E9)</f>
        <v>3</v>
      </c>
      <c r="H9" s="5" t="n">
        <f aca="false">MAX(C9:E9)</f>
        <v>5</v>
      </c>
      <c r="I9" s="5" t="n">
        <f aca="false">H9-G9</f>
        <v>2</v>
      </c>
      <c r="J9" s="5" t="str">
        <f aca="false">IF(I9=0,"YES - challenge","no")</f>
        <v>no</v>
      </c>
    </row>
    <row r="10" customFormat="false" ht="15" hidden="false" customHeight="false" outlineLevel="0" collapsed="false">
      <c r="A10" s="5" t="s">
        <v>29</v>
      </c>
      <c r="B10" s="5" t="s">
        <v>30</v>
      </c>
      <c r="C10" s="6" t="n">
        <v>2</v>
      </c>
      <c r="D10" s="6" t="n">
        <v>3</v>
      </c>
      <c r="E10" s="6" t="n">
        <v>3</v>
      </c>
      <c r="F10" s="6" t="n">
        <v>3</v>
      </c>
      <c r="G10" s="5" t="n">
        <f aca="false">MIN(C10:E10)</f>
        <v>2</v>
      </c>
      <c r="H10" s="5" t="n">
        <f aca="false">MAX(C10:E10)</f>
        <v>3</v>
      </c>
      <c r="I10" s="5" t="n">
        <f aca="false">H10-G10</f>
        <v>1</v>
      </c>
      <c r="J10" s="5" t="str">
        <f aca="false">IF(I10=0,"YES - challenge","no")</f>
        <v>no</v>
      </c>
    </row>
    <row r="11" customFormat="false" ht="15" hidden="false" customHeight="false" outlineLevel="0" collapsed="false">
      <c r="A11" s="5" t="s">
        <v>31</v>
      </c>
      <c r="B11" s="5" t="s">
        <v>32</v>
      </c>
      <c r="C11" s="6" t="n">
        <v>3</v>
      </c>
      <c r="D11" s="6" t="n">
        <v>2</v>
      </c>
      <c r="E11" s="6" t="n">
        <v>3</v>
      </c>
      <c r="F11" s="6" t="n">
        <v>3</v>
      </c>
      <c r="G11" s="5" t="n">
        <f aca="false">MIN(C11:E11)</f>
        <v>2</v>
      </c>
      <c r="H11" s="5" t="n">
        <f aca="false">MAX(C11:E11)</f>
        <v>3</v>
      </c>
      <c r="I11" s="5" t="n">
        <f aca="false">H11-G11</f>
        <v>1</v>
      </c>
      <c r="J11" s="5" t="str">
        <f aca="false">IF(I11=0,"YES - challenge","no")</f>
        <v>no</v>
      </c>
    </row>
    <row r="12" customFormat="false" ht="15" hidden="false" customHeight="false" outlineLevel="0" collapsed="false">
      <c r="A12" s="5" t="s">
        <v>33</v>
      </c>
      <c r="B12" s="5" t="s">
        <v>34</v>
      </c>
      <c r="C12" s="6" t="n">
        <v>5</v>
      </c>
      <c r="D12" s="6" t="n">
        <v>5</v>
      </c>
      <c r="E12" s="6" t="n">
        <v>3</v>
      </c>
      <c r="F12" s="6" t="n">
        <v>5</v>
      </c>
      <c r="G12" s="5" t="n">
        <f aca="false">MIN(C12:E12)</f>
        <v>3</v>
      </c>
      <c r="H12" s="5" t="n">
        <f aca="false">MAX(C12:E12)</f>
        <v>5</v>
      </c>
      <c r="I12" s="5" t="n">
        <f aca="false">H12-G12</f>
        <v>2</v>
      </c>
      <c r="J12" s="5" t="str">
        <f aca="false">IF(I12=0,"YES - challenge","no")</f>
        <v>no</v>
      </c>
    </row>
    <row r="13" customFormat="false" ht="15" hidden="false" customHeight="false" outlineLevel="0" collapsed="false">
      <c r="A13" s="5" t="s">
        <v>35</v>
      </c>
      <c r="B13" s="5" t="s">
        <v>36</v>
      </c>
      <c r="C13" s="6" t="n">
        <v>8</v>
      </c>
      <c r="D13" s="6" t="n">
        <v>8</v>
      </c>
      <c r="E13" s="6" t="n">
        <v>13</v>
      </c>
      <c r="F13" s="6" t="n">
        <v>8</v>
      </c>
      <c r="G13" s="5" t="n">
        <f aca="false">MIN(C13:E13)</f>
        <v>8</v>
      </c>
      <c r="H13" s="5" t="n">
        <f aca="false">MAX(C13:E13)</f>
        <v>13</v>
      </c>
      <c r="I13" s="5" t="n">
        <f aca="false">H13-G13</f>
        <v>5</v>
      </c>
      <c r="J13" s="5" t="str">
        <f aca="false">IF(I13=0,"YES - challenge","no")</f>
        <v>no</v>
      </c>
    </row>
    <row r="15" customFormat="false" ht="15" hidden="false" customHeight="false" outlineLevel="0" collapsed="false">
      <c r="B15" s="7" t="s">
        <v>37</v>
      </c>
      <c r="F15" s="3" t="n">
        <f aca="false">SUM(F4:F13)</f>
        <v>49</v>
      </c>
    </row>
    <row r="16" customFormat="false" ht="15" hidden="false" customHeight="false" outlineLevel="0" collapsed="false">
      <c r="B16" s="3" t="s">
        <v>38</v>
      </c>
      <c r="F16" s="3" t="n">
        <f aca="false">COUNTIF(J4:J13,"YES*")</f>
        <v>0</v>
      </c>
    </row>
    <row r="17" customFormat="false" ht="15" hidden="false" customHeight="false" outlineLevel="0" collapsed="false">
      <c r="B17" s="3" t="s">
        <v>39</v>
      </c>
      <c r="F17" s="3" t="n">
        <f aca="false">MAX(I4:I13)</f>
        <v>5</v>
      </c>
    </row>
    <row r="19" customFormat="false" ht="15" hidden="false" customHeight="false" outlineLevel="0" collapsed="false">
      <c r="B19" s="3" t="s">
        <v>40</v>
      </c>
      <c r="C19" s="8" t="s">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4" min="3" style="0" width="8"/>
    <col collapsed="false" customWidth="true" hidden="false" outlineLevel="0" max="5" min="5" style="0" width="14"/>
    <col collapsed="false" customWidth="true" hidden="false" outlineLevel="0" max="6" min="6" style="0" width="10"/>
    <col collapsed="false" customWidth="true" hidden="false" outlineLevel="0" max="7" min="7" style="0" width="32"/>
    <col collapsed="false" customWidth="true" hidden="false" outlineLevel="0" max="8" min="8" style="0" width="14"/>
    <col collapsed="false" customWidth="true" hidden="false" outlineLevel="0" max="9" min="9" style="0" width="40"/>
  </cols>
  <sheetData>
    <row r="1" customFormat="false" ht="16.15" hidden="false" customHeight="false" outlineLevel="0" collapsed="false">
      <c r="A1" s="1" t="s">
        <v>42</v>
      </c>
    </row>
    <row r="3" customFormat="false" ht="15" hidden="false" customHeight="false" outlineLevel="0" collapsed="false">
      <c r="A3" s="4" t="s">
        <v>7</v>
      </c>
      <c r="B3" s="4" t="s">
        <v>8</v>
      </c>
      <c r="C3" s="4" t="s">
        <v>43</v>
      </c>
      <c r="D3" s="4" t="s">
        <v>44</v>
      </c>
      <c r="E3" s="4" t="s">
        <v>45</v>
      </c>
      <c r="F3" s="4" t="s">
        <v>46</v>
      </c>
      <c r="G3" s="4" t="s">
        <v>47</v>
      </c>
      <c r="H3" s="4" t="s">
        <v>48</v>
      </c>
      <c r="I3" s="4" t="s">
        <v>49</v>
      </c>
    </row>
    <row r="4" customFormat="false" ht="15" hidden="false" customHeight="false" outlineLevel="0" collapsed="false">
      <c r="A4" s="5" t="s">
        <v>17</v>
      </c>
      <c r="B4" s="5" t="s">
        <v>18</v>
      </c>
      <c r="C4" s="5" t="n">
        <f aca="false">INDEX(Blind_Estimates!$F$4:$F$13,MATCH(A4,Blind_Estimates!$A$4:$A$13,0))</f>
        <v>3</v>
      </c>
      <c r="D4" s="6" t="n">
        <v>3</v>
      </c>
      <c r="E4" s="5" t="n">
        <f aca="false">C4-D4</f>
        <v>0</v>
      </c>
      <c r="F4" s="5" t="n">
        <f aca="false">ABS(E4)</f>
        <v>0</v>
      </c>
      <c r="G4" s="6" t="s">
        <v>50</v>
      </c>
      <c r="H4" s="6" t="s">
        <v>51</v>
      </c>
      <c r="I4" s="6" t="s">
        <v>52</v>
      </c>
    </row>
    <row r="5" customFormat="false" ht="15" hidden="false" customHeight="false" outlineLevel="0" collapsed="false">
      <c r="A5" s="5" t="s">
        <v>19</v>
      </c>
      <c r="B5" s="5" t="s">
        <v>20</v>
      </c>
      <c r="C5" s="5" t="n">
        <f aca="false">INDEX(Blind_Estimates!$F$4:$F$13,MATCH(A5,Blind_Estimates!$A$4:$A$13,0))</f>
        <v>3</v>
      </c>
      <c r="D5" s="6" t="n">
        <v>2</v>
      </c>
      <c r="E5" s="5" t="n">
        <f aca="false">C5-D5</f>
        <v>1</v>
      </c>
      <c r="F5" s="5" t="n">
        <f aca="false">ABS(E5)</f>
        <v>1</v>
      </c>
      <c r="G5" s="6" t="s">
        <v>53</v>
      </c>
      <c r="H5" s="6" t="s">
        <v>54</v>
      </c>
      <c r="I5" s="6" t="s">
        <v>55</v>
      </c>
    </row>
    <row r="6" customFormat="false" ht="15" hidden="false" customHeight="false" outlineLevel="0" collapsed="false">
      <c r="A6" s="5" t="s">
        <v>21</v>
      </c>
      <c r="B6" s="5" t="s">
        <v>22</v>
      </c>
      <c r="C6" s="5" t="n">
        <f aca="false">INDEX(Blind_Estimates!$F$4:$F$13,MATCH(A6,Blind_Estimates!$A$4:$A$13,0))</f>
        <v>8</v>
      </c>
      <c r="D6" s="6" t="n">
        <v>5</v>
      </c>
      <c r="E6" s="5" t="n">
        <f aca="false">C6-D6</f>
        <v>3</v>
      </c>
      <c r="F6" s="5" t="n">
        <f aca="false">ABS(E6)</f>
        <v>3</v>
      </c>
      <c r="G6" s="6" t="s">
        <v>56</v>
      </c>
      <c r="H6" s="6" t="s">
        <v>51</v>
      </c>
      <c r="I6" s="6" t="s">
        <v>57</v>
      </c>
    </row>
    <row r="7" customFormat="false" ht="15" hidden="false" customHeight="false" outlineLevel="0" collapsed="false">
      <c r="A7" s="5" t="s">
        <v>23</v>
      </c>
      <c r="B7" s="5" t="s">
        <v>24</v>
      </c>
      <c r="C7" s="5" t="n">
        <f aca="false">INDEX(Blind_Estimates!$F$4:$F$13,MATCH(A7,Blind_Estimates!$A$4:$A$13,0))</f>
        <v>3</v>
      </c>
      <c r="D7" s="6" t="n">
        <v>3</v>
      </c>
      <c r="E7" s="5" t="n">
        <f aca="false">C7-D7</f>
        <v>0</v>
      </c>
      <c r="F7" s="5" t="n">
        <f aca="false">ABS(E7)</f>
        <v>0</v>
      </c>
      <c r="G7" s="6" t="s">
        <v>58</v>
      </c>
      <c r="H7" s="6" t="s">
        <v>54</v>
      </c>
      <c r="I7" s="6" t="s">
        <v>59</v>
      </c>
    </row>
    <row r="8" customFormat="false" ht="15" hidden="false" customHeight="false" outlineLevel="0" collapsed="false">
      <c r="A8" s="5" t="s">
        <v>25</v>
      </c>
      <c r="B8" s="5" t="s">
        <v>26</v>
      </c>
      <c r="C8" s="5" t="n">
        <f aca="false">INDEX(Blind_Estimates!$F$4:$F$13,MATCH(A8,Blind_Estimates!$A$4:$A$13,0))</f>
        <v>8</v>
      </c>
      <c r="D8" s="6" t="n">
        <v>5</v>
      </c>
      <c r="E8" s="5" t="n">
        <f aca="false">C8-D8</f>
        <v>3</v>
      </c>
      <c r="F8" s="5" t="n">
        <f aca="false">ABS(E8)</f>
        <v>3</v>
      </c>
      <c r="G8" s="6" t="s">
        <v>60</v>
      </c>
      <c r="H8" s="6" t="s">
        <v>51</v>
      </c>
      <c r="I8" s="6" t="s">
        <v>61</v>
      </c>
    </row>
    <row r="9" customFormat="false" ht="15" hidden="false" customHeight="false" outlineLevel="0" collapsed="false">
      <c r="A9" s="5" t="s">
        <v>27</v>
      </c>
      <c r="B9" s="5" t="s">
        <v>28</v>
      </c>
      <c r="C9" s="5" t="n">
        <f aca="false">INDEX(Blind_Estimates!$F$4:$F$13,MATCH(A9,Blind_Estimates!$A$4:$A$13,0))</f>
        <v>5</v>
      </c>
      <c r="D9" s="6" t="n">
        <v>3</v>
      </c>
      <c r="E9" s="5" t="n">
        <f aca="false">C9-D9</f>
        <v>2</v>
      </c>
      <c r="F9" s="5" t="n">
        <f aca="false">ABS(E9)</f>
        <v>2</v>
      </c>
      <c r="G9" s="6" t="s">
        <v>62</v>
      </c>
      <c r="H9" s="6" t="s">
        <v>51</v>
      </c>
      <c r="I9" s="6" t="s">
        <v>63</v>
      </c>
    </row>
    <row r="10" customFormat="false" ht="15" hidden="false" customHeight="false" outlineLevel="0" collapsed="false">
      <c r="A10" s="5" t="s">
        <v>29</v>
      </c>
      <c r="B10" s="5" t="s">
        <v>30</v>
      </c>
      <c r="C10" s="5" t="n">
        <f aca="false">INDEX(Blind_Estimates!$F$4:$F$13,MATCH(A10,Blind_Estimates!$A$4:$A$13,0))</f>
        <v>3</v>
      </c>
      <c r="D10" s="6" t="n">
        <v>2</v>
      </c>
      <c r="E10" s="5" t="n">
        <f aca="false">C10-D10</f>
        <v>1</v>
      </c>
      <c r="F10" s="5" t="n">
        <f aca="false">ABS(E10)</f>
        <v>1</v>
      </c>
      <c r="G10" s="6" t="s">
        <v>64</v>
      </c>
      <c r="H10" s="6" t="s">
        <v>51</v>
      </c>
      <c r="I10" s="6" t="s">
        <v>65</v>
      </c>
    </row>
    <row r="11" customFormat="false" ht="15" hidden="false" customHeight="false" outlineLevel="0" collapsed="false">
      <c r="A11" s="5" t="s">
        <v>31</v>
      </c>
      <c r="B11" s="5" t="s">
        <v>32</v>
      </c>
      <c r="C11" s="5" t="n">
        <f aca="false">INDEX(Blind_Estimates!$F$4:$F$13,MATCH(A11,Blind_Estimates!$A$4:$A$13,0))</f>
        <v>3</v>
      </c>
      <c r="D11" s="6" t="n">
        <v>2</v>
      </c>
      <c r="E11" s="5" t="n">
        <f aca="false">C11-D11</f>
        <v>1</v>
      </c>
      <c r="F11" s="5" t="n">
        <f aca="false">ABS(E11)</f>
        <v>1</v>
      </c>
      <c r="G11" s="6" t="s">
        <v>66</v>
      </c>
      <c r="H11" s="6" t="s">
        <v>54</v>
      </c>
      <c r="I11" s="6" t="s">
        <v>67</v>
      </c>
    </row>
    <row r="12" customFormat="false" ht="15" hidden="false" customHeight="false" outlineLevel="0" collapsed="false">
      <c r="A12" s="5" t="s">
        <v>33</v>
      </c>
      <c r="B12" s="5" t="s">
        <v>34</v>
      </c>
      <c r="C12" s="5" t="n">
        <f aca="false">INDEX(Blind_Estimates!$F$4:$F$13,MATCH(A12,Blind_Estimates!$A$4:$A$13,0))</f>
        <v>5</v>
      </c>
      <c r="D12" s="6" t="n">
        <v>3</v>
      </c>
      <c r="E12" s="5" t="n">
        <f aca="false">C12-D12</f>
        <v>2</v>
      </c>
      <c r="F12" s="5" t="n">
        <f aca="false">ABS(E12)</f>
        <v>2</v>
      </c>
      <c r="G12" s="6" t="s">
        <v>68</v>
      </c>
      <c r="H12" s="6" t="s">
        <v>51</v>
      </c>
      <c r="I12" s="6" t="s">
        <v>69</v>
      </c>
    </row>
    <row r="13" customFormat="false" ht="15" hidden="false" customHeight="false" outlineLevel="0" collapsed="false">
      <c r="A13" s="5" t="s">
        <v>35</v>
      </c>
      <c r="B13" s="5" t="s">
        <v>36</v>
      </c>
      <c r="C13" s="5" t="n">
        <f aca="false">INDEX(Blind_Estimates!$F$4:$F$13,MATCH(A13,Blind_Estimates!$A$4:$A$13,0))</f>
        <v>8</v>
      </c>
      <c r="D13" s="6" t="n">
        <v>3</v>
      </c>
      <c r="E13" s="5" t="n">
        <f aca="false">C13-D13</f>
        <v>5</v>
      </c>
      <c r="F13" s="5" t="n">
        <f aca="false">ABS(E13)</f>
        <v>5</v>
      </c>
      <c r="G13" s="6" t="s">
        <v>70</v>
      </c>
      <c r="H13" s="6" t="s">
        <v>51</v>
      </c>
      <c r="I13" s="6" t="s">
        <v>71</v>
      </c>
    </row>
    <row r="15" customFormat="false" ht="15" hidden="false" customHeight="false" outlineLevel="0" collapsed="false">
      <c r="B15" s="7" t="s">
        <v>72</v>
      </c>
      <c r="C15" s="3" t="n">
        <f aca="false">SUM(C4:C13)</f>
        <v>49</v>
      </c>
      <c r="D15" s="3" t="n">
        <f aca="false">SUM(D4:D13)</f>
        <v>31</v>
      </c>
    </row>
    <row r="16" customFormat="false" ht="15" hidden="false" customHeight="false" outlineLevel="0" collapsed="false">
      <c r="B16" s="3" t="s">
        <v>73</v>
      </c>
      <c r="C16" s="3" t="n">
        <f aca="false">COUNTIF(H4:H13,"Knowable")</f>
        <v>3</v>
      </c>
    </row>
    <row r="17" customFormat="false" ht="15" hidden="false" customHeight="false" outlineLevel="0" collapsed="false">
      <c r="B17" s="3" t="s">
        <v>74</v>
      </c>
      <c r="C17" s="3" t="n">
        <f aca="false">COUNTIF(H4:H13,"Assumed")</f>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14"/>
    <col collapsed="false" customWidth="true" hidden="false" outlineLevel="0" max="4" min="4" style="0" width="110"/>
  </cols>
  <sheetData>
    <row r="1" customFormat="false" ht="16.15" hidden="false" customHeight="false" outlineLevel="0" collapsed="false">
      <c r="A1" s="1" t="s">
        <v>75</v>
      </c>
    </row>
    <row r="3" customFormat="false" ht="15" hidden="false" customHeight="false" outlineLevel="0" collapsed="false">
      <c r="A3" s="4" t="s">
        <v>76</v>
      </c>
      <c r="B3" s="4" t="s">
        <v>8</v>
      </c>
      <c r="C3" s="4" t="s">
        <v>77</v>
      </c>
      <c r="D3" s="4" t="s">
        <v>78</v>
      </c>
    </row>
    <row r="4" customFormat="false" ht="23.85" hidden="false" customHeight="false" outlineLevel="0" collapsed="false">
      <c r="A4" s="5" t="n">
        <v>1</v>
      </c>
      <c r="B4" s="5" t="s">
        <v>35</v>
      </c>
      <c r="C4" s="5" t="n">
        <f aca="false">INDEX(AI_Comparison!$F$4:$F$13,MATCH(B4,AI_Comparison!$A$4:$A$13,0))</f>
        <v>5</v>
      </c>
      <c r="D4" s="6" t="s">
        <v>79</v>
      </c>
    </row>
    <row r="5" customFormat="false" ht="23.85" hidden="false" customHeight="false" outlineLevel="0" collapsed="false">
      <c r="A5" s="5" t="n">
        <v>2</v>
      </c>
      <c r="B5" s="5" t="s">
        <v>21</v>
      </c>
      <c r="C5" s="5" t="n">
        <f aca="false">INDEX(AI_Comparison!$F$4:$F$13,MATCH(B5,AI_Comparison!$A$4:$A$13,0))</f>
        <v>3</v>
      </c>
      <c r="D5" s="6" t="s">
        <v>80</v>
      </c>
    </row>
    <row r="6" customFormat="false" ht="15" hidden="false" customHeight="false" outlineLevel="0" collapsed="false">
      <c r="A6" s="5" t="n">
        <v>3</v>
      </c>
      <c r="B6" s="5" t="s">
        <v>25</v>
      </c>
      <c r="C6" s="5" t="n">
        <f aca="false">INDEX(AI_Comparison!$F$4:$F$13,MATCH(B6,AI_Comparison!$A$4:$A$13,0))</f>
        <v>3</v>
      </c>
      <c r="D6" s="6"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2"/>
    <col collapsed="false" customWidth="true" hidden="false" outlineLevel="0" max="3" min="3" style="0" width="26"/>
    <col collapsed="false" customWidth="true" hidden="false" outlineLevel="0" max="4" min="4" style="0" width="10"/>
    <col collapsed="false" customWidth="true" hidden="false" outlineLevel="0" max="5" min="5" style="0" width="12"/>
    <col collapsed="false" customWidth="true" hidden="false" outlineLevel="0" max="6" min="6" style="0" width="18"/>
  </cols>
  <sheetData>
    <row r="1" customFormat="false" ht="16.15" hidden="false" customHeight="false" outlineLevel="0" collapsed="false">
      <c r="A1" s="1" t="s">
        <v>82</v>
      </c>
    </row>
    <row r="3" customFormat="false" ht="15" hidden="false" customHeight="false" outlineLevel="0" collapsed="false">
      <c r="A3" s="7" t="s">
        <v>83</v>
      </c>
    </row>
    <row r="4" customFormat="false" ht="15" hidden="false" customHeight="false" outlineLevel="0" collapsed="false">
      <c r="A4" s="3" t="s">
        <v>84</v>
      </c>
      <c r="B4" s="8" t="n">
        <v>3</v>
      </c>
    </row>
    <row r="5" customFormat="false" ht="15" hidden="false" customHeight="false" outlineLevel="0" collapsed="false">
      <c r="A5" s="3" t="s">
        <v>85</v>
      </c>
      <c r="B5" s="8" t="n">
        <v>10</v>
      </c>
    </row>
    <row r="6" customFormat="false" ht="15" hidden="false" customHeight="false" outlineLevel="0" collapsed="false">
      <c r="A6" s="3" t="s">
        <v>86</v>
      </c>
      <c r="B6" s="8" t="n">
        <v>3</v>
      </c>
    </row>
    <row r="7" customFormat="false" ht="15" hidden="false" customHeight="false" outlineLevel="0" collapsed="false">
      <c r="A7" s="3" t="s">
        <v>87</v>
      </c>
      <c r="B7" s="8" t="n">
        <v>4</v>
      </c>
    </row>
    <row r="8" customFormat="false" ht="15" hidden="false" customHeight="false" outlineLevel="0" collapsed="false">
      <c r="A8" s="3" t="s">
        <v>88</v>
      </c>
      <c r="B8" s="8" t="n">
        <v>20</v>
      </c>
      <c r="C8" s="2" t="s">
        <v>89</v>
      </c>
    </row>
    <row r="9" customFormat="false" ht="15" hidden="false" customHeight="false" outlineLevel="0" collapsed="false">
      <c r="A9" s="3" t="s">
        <v>90</v>
      </c>
      <c r="B9" s="3" t="n">
        <f aca="false">B4*B5*B6</f>
        <v>90</v>
      </c>
    </row>
    <row r="10" customFormat="false" ht="15" hidden="false" customHeight="false" outlineLevel="0" collapsed="false">
      <c r="A10" s="3" t="s">
        <v>91</v>
      </c>
      <c r="B10" s="3" t="n">
        <f aca="false">B9/B7</f>
        <v>22.5</v>
      </c>
    </row>
    <row r="11" customFormat="false" ht="15" hidden="false" customHeight="false" outlineLevel="0" collapsed="false">
      <c r="A11" s="3" t="s">
        <v>92</v>
      </c>
      <c r="B11" s="3" t="n">
        <f aca="false">B8</f>
        <v>20</v>
      </c>
    </row>
    <row r="13" customFormat="false" ht="15" hidden="false" customHeight="false" outlineLevel="0" collapsed="false">
      <c r="A13" s="4" t="s">
        <v>93</v>
      </c>
      <c r="B13" s="4" t="s">
        <v>7</v>
      </c>
      <c r="C13" s="4" t="s">
        <v>8</v>
      </c>
      <c r="D13" s="4" t="s">
        <v>94</v>
      </c>
      <c r="E13" s="4" t="s">
        <v>95</v>
      </c>
      <c r="F13" s="4" t="s">
        <v>96</v>
      </c>
    </row>
    <row r="14" customFormat="false" ht="15" hidden="false" customHeight="false" outlineLevel="0" collapsed="false">
      <c r="A14" s="5" t="n">
        <v>1</v>
      </c>
      <c r="B14" s="5" t="s">
        <v>17</v>
      </c>
      <c r="C14" s="5" t="s">
        <v>18</v>
      </c>
      <c r="D14" s="5" t="n">
        <f aca="false">INDEX(Blind_Estimates!$F$4:$F$13,MATCH(B14,Blind_Estimates!$A$4:$A$13,0))</f>
        <v>3</v>
      </c>
      <c r="E14" s="5" t="n">
        <f aca="false">SUM($D$14:D14)</f>
        <v>3</v>
      </c>
      <c r="F14" s="5" t="str">
        <f aca="false">IF(E14&lt;=$B$11,"Sprint 1","Later")</f>
        <v>Sprint 1</v>
      </c>
    </row>
    <row r="15" customFormat="false" ht="15" hidden="false" customHeight="false" outlineLevel="0" collapsed="false">
      <c r="A15" s="5" t="n">
        <v>2</v>
      </c>
      <c r="B15" s="5" t="s">
        <v>19</v>
      </c>
      <c r="C15" s="5" t="s">
        <v>20</v>
      </c>
      <c r="D15" s="5" t="n">
        <f aca="false">INDEX(Blind_Estimates!$F$4:$F$13,MATCH(B15,Blind_Estimates!$A$4:$A$13,0))</f>
        <v>3</v>
      </c>
      <c r="E15" s="5" t="n">
        <f aca="false">SUM($D$14:D15)</f>
        <v>6</v>
      </c>
      <c r="F15" s="5" t="str">
        <f aca="false">IF(E15&lt;=$B$11,"Sprint 1","Later")</f>
        <v>Sprint 1</v>
      </c>
    </row>
    <row r="16" customFormat="false" ht="15" hidden="false" customHeight="false" outlineLevel="0" collapsed="false">
      <c r="A16" s="5" t="n">
        <v>3</v>
      </c>
      <c r="B16" s="5" t="s">
        <v>27</v>
      </c>
      <c r="C16" s="5" t="s">
        <v>28</v>
      </c>
      <c r="D16" s="5" t="n">
        <f aca="false">INDEX(Blind_Estimates!$F$4:$F$13,MATCH(B16,Blind_Estimates!$A$4:$A$13,0))</f>
        <v>5</v>
      </c>
      <c r="E16" s="5" t="n">
        <f aca="false">SUM($D$14:D16)</f>
        <v>11</v>
      </c>
      <c r="F16" s="5" t="str">
        <f aca="false">IF(E16&lt;=$B$11,"Sprint 1","Later")</f>
        <v>Sprint 1</v>
      </c>
    </row>
    <row r="17" customFormat="false" ht="15" hidden="false" customHeight="false" outlineLevel="0" collapsed="false">
      <c r="A17" s="5" t="n">
        <v>4</v>
      </c>
      <c r="B17" s="5" t="s">
        <v>21</v>
      </c>
      <c r="C17" s="5" t="s">
        <v>22</v>
      </c>
      <c r="D17" s="5" t="n">
        <f aca="false">INDEX(Blind_Estimates!$F$4:$F$13,MATCH(B17,Blind_Estimates!$A$4:$A$13,0))</f>
        <v>8</v>
      </c>
      <c r="E17" s="5" t="n">
        <f aca="false">SUM($D$14:D17)</f>
        <v>19</v>
      </c>
      <c r="F17" s="5" t="str">
        <f aca="false">IF(E17&lt;=$B$11,"Sprint 1","Later")</f>
        <v>Sprint 1</v>
      </c>
    </row>
    <row r="18" customFormat="false" ht="15" hidden="false" customHeight="false" outlineLevel="0" collapsed="false">
      <c r="A18" s="5" t="n">
        <v>5</v>
      </c>
      <c r="B18" s="5" t="s">
        <v>23</v>
      </c>
      <c r="C18" s="5" t="s">
        <v>24</v>
      </c>
      <c r="D18" s="5" t="n">
        <f aca="false">INDEX(Blind_Estimates!$F$4:$F$13,MATCH(B18,Blind_Estimates!$A$4:$A$13,0))</f>
        <v>3</v>
      </c>
      <c r="E18" s="5" t="n">
        <f aca="false">SUM($D$14:D18)</f>
        <v>22</v>
      </c>
      <c r="F18" s="5" t="str">
        <f aca="false">IF(E18&lt;=$B$11,"Sprint 1","Later")</f>
        <v>Later</v>
      </c>
    </row>
    <row r="19" customFormat="false" ht="15" hidden="false" customHeight="false" outlineLevel="0" collapsed="false">
      <c r="A19" s="5" t="n">
        <v>6</v>
      </c>
      <c r="B19" s="5" t="s">
        <v>25</v>
      </c>
      <c r="C19" s="5" t="s">
        <v>26</v>
      </c>
      <c r="D19" s="5" t="n">
        <f aca="false">INDEX(Blind_Estimates!$F$4:$F$13,MATCH(B19,Blind_Estimates!$A$4:$A$13,0))</f>
        <v>8</v>
      </c>
      <c r="E19" s="5" t="n">
        <f aca="false">SUM($D$14:D19)</f>
        <v>30</v>
      </c>
      <c r="F19" s="5" t="str">
        <f aca="false">IF(E19&lt;=$B$11,"Sprint 1","Later")</f>
        <v>Later</v>
      </c>
    </row>
    <row r="20" customFormat="false" ht="15" hidden="false" customHeight="false" outlineLevel="0" collapsed="false">
      <c r="A20" s="5" t="n">
        <v>7</v>
      </c>
      <c r="B20" s="5" t="s">
        <v>29</v>
      </c>
      <c r="C20" s="5" t="s">
        <v>30</v>
      </c>
      <c r="D20" s="5" t="n">
        <f aca="false">INDEX(Blind_Estimates!$F$4:$F$13,MATCH(B20,Blind_Estimates!$A$4:$A$13,0))</f>
        <v>3</v>
      </c>
      <c r="E20" s="5" t="n">
        <f aca="false">SUM($D$14:D20)</f>
        <v>33</v>
      </c>
      <c r="F20" s="5" t="str">
        <f aca="false">IF(E20&lt;=$B$11,"Sprint 1","Later")</f>
        <v>Later</v>
      </c>
    </row>
    <row r="21" customFormat="false" ht="15" hidden="false" customHeight="false" outlineLevel="0" collapsed="false">
      <c r="A21" s="5" t="n">
        <v>8</v>
      </c>
      <c r="B21" s="5" t="s">
        <v>31</v>
      </c>
      <c r="C21" s="5" t="s">
        <v>32</v>
      </c>
      <c r="D21" s="5" t="n">
        <f aca="false">INDEX(Blind_Estimates!$F$4:$F$13,MATCH(B21,Blind_Estimates!$A$4:$A$13,0))</f>
        <v>3</v>
      </c>
      <c r="E21" s="5" t="n">
        <f aca="false">SUM($D$14:D21)</f>
        <v>36</v>
      </c>
      <c r="F21" s="5" t="str">
        <f aca="false">IF(E21&lt;=$B$11,"Sprint 1","Later")</f>
        <v>Later</v>
      </c>
    </row>
    <row r="22" customFormat="false" ht="15" hidden="false" customHeight="false" outlineLevel="0" collapsed="false">
      <c r="A22" s="5" t="n">
        <v>9</v>
      </c>
      <c r="B22" s="5" t="s">
        <v>33</v>
      </c>
      <c r="C22" s="5" t="s">
        <v>34</v>
      </c>
      <c r="D22" s="5" t="n">
        <f aca="false">INDEX(Blind_Estimates!$F$4:$F$13,MATCH(B22,Blind_Estimates!$A$4:$A$13,0))</f>
        <v>5</v>
      </c>
      <c r="E22" s="5" t="n">
        <f aca="false">SUM($D$14:D22)</f>
        <v>41</v>
      </c>
      <c r="F22" s="5" t="str">
        <f aca="false">IF(E22&lt;=$B$11,"Sprint 1","Later")</f>
        <v>Later</v>
      </c>
    </row>
    <row r="23" customFormat="false" ht="15" hidden="false" customHeight="false" outlineLevel="0" collapsed="false">
      <c r="A23" s="5" t="n">
        <v>10</v>
      </c>
      <c r="B23" s="5" t="s">
        <v>35</v>
      </c>
      <c r="C23" s="5" t="s">
        <v>36</v>
      </c>
      <c r="D23" s="5" t="n">
        <f aca="false">INDEX(Blind_Estimates!$F$4:$F$13,MATCH(B23,Blind_Estimates!$A$4:$A$13,0))</f>
        <v>8</v>
      </c>
      <c r="E23" s="5" t="n">
        <f aca="false">SUM($D$14:D23)</f>
        <v>49</v>
      </c>
      <c r="F23" s="5" t="str">
        <f aca="false">IF(E23&lt;=$B$11,"Sprint 1","Later")</f>
        <v>Later</v>
      </c>
    </row>
    <row r="25" customFormat="false" ht="15" hidden="false" customHeight="false" outlineLevel="0" collapsed="false">
      <c r="A25" s="3" t="s">
        <v>97</v>
      </c>
      <c r="B25" s="3" t="n">
        <f aca="false">SUMIF(F14:F23,"Sprint 1",D14:D23)</f>
        <v>19</v>
      </c>
    </row>
    <row r="26" customFormat="false" ht="15" hidden="false" customHeight="false" outlineLevel="0" collapsed="false">
      <c r="A26" s="3" t="s">
        <v>98</v>
      </c>
      <c r="B26" s="3" t="n">
        <f aca="false">B11-B25</f>
        <v>1</v>
      </c>
    </row>
    <row r="27" customFormat="false" ht="15" hidden="false" customHeight="false" outlineLevel="0" collapsed="false">
      <c r="A27" s="3" t="s">
        <v>99</v>
      </c>
      <c r="B27" s="3" t="n">
        <f aca="false">SUM(D14:D23)</f>
        <v>49</v>
      </c>
    </row>
    <row r="28" customFormat="false" ht="15" hidden="false" customHeight="false" outlineLevel="0" collapsed="false">
      <c r="A28" s="3" t="s">
        <v>100</v>
      </c>
      <c r="B28" s="3" t="n">
        <f aca="false">ROUNDUP(B27/B11,0)</f>
        <v>3</v>
      </c>
    </row>
    <row r="30" customFormat="false" ht="15" hidden="false" customHeight="false" outlineLevel="0" collapsed="false">
      <c r="A30" s="7" t="s">
        <v>101</v>
      </c>
    </row>
    <row r="31" customFormat="false" ht="45" hidden="false" customHeight="true" outlineLevel="0" collapsed="false">
      <c r="A31" s="9" t="s">
        <v>102</v>
      </c>
      <c r="B31" s="9"/>
      <c r="C31" s="9"/>
      <c r="D31" s="9"/>
      <c r="E31" s="9"/>
      <c r="F31" s="9"/>
    </row>
  </sheetData>
  <mergeCells count="1">
    <mergeCell ref="A31:F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2026-10-05T04:49:18Z</dcterms:created>
  <dc:creator>openpyxl</dc:creator>
  <dc:description/>
  <dc:language>en-US</dc:language>
  <cp:lastModifiedBy/>
  <dcterms:modified xsi:type="dcterms:W3CDTF">2026-10-05T04:49:18Z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